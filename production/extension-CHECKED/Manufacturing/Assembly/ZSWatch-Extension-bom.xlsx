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'Costs'!$H$29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2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2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2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<sst xmlns="http://schemas.openxmlformats.org/spreadsheetml/2006/main" count="316" uniqueCount="168">
  <si>
    <t>Row</t>
  </si>
  <si>
    <t>Quantity Per PCB</t>
  </si>
  <si>
    <t>References</t>
  </si>
  <si>
    <t>Value</t>
  </si>
  <si>
    <t>Datasheet</t>
  </si>
  <si>
    <t>Footprint</t>
  </si>
  <si>
    <t>Description</t>
  </si>
  <si>
    <t>manf</t>
  </si>
  <si>
    <t>manf#</t>
  </si>
  <si>
    <t>1</t>
  </si>
  <si>
    <t>4</t>
  </si>
  <si>
    <t>C506 C507 C510 C611</t>
  </si>
  <si>
    <t>100n</t>
  </si>
  <si>
    <t>https://datasheets.kyocera-avx.com/cx5r-KGM.pdf</t>
  </si>
  <si>
    <t>C_0201_0603Metric</t>
  </si>
  <si>
    <t>Unpolarized capacitor, small symbol</t>
  </si>
  <si>
    <t>KYOCERA AVX</t>
  </si>
  <si>
    <t>0201ZD104KAT2A</t>
  </si>
  <si>
    <t>2</t>
  </si>
  <si>
    <t>11</t>
  </si>
  <si>
    <t>C502 C503 C504 C509 C601 C602 C603 C604 C608 C609 C610</t>
  </si>
  <si>
    <t>1u</t>
  </si>
  <si>
    <t>https://datasheets.kyocera-avx.com/x6s-dielectric.pdf</t>
  </si>
  <si>
    <t>02016W105MAT2A</t>
  </si>
  <si>
    <t>3</t>
  </si>
  <si>
    <t>C605</t>
  </si>
  <si>
    <t>2u2</t>
  </si>
  <si>
    <t>0201ZD225MAT2A</t>
  </si>
  <si>
    <t>C606 C607</t>
  </si>
  <si>
    <t>4u7</t>
  </si>
  <si>
    <t>https://www.mouser.de/datasheet/3/76/2/GRM035R60J475ME15_01A.pdf</t>
  </si>
  <si>
    <t>Murata</t>
  </si>
  <si>
    <t>GRM035R60J475ME15D</t>
  </si>
  <si>
    <t>5</t>
  </si>
  <si>
    <t>C505 C508</t>
  </si>
  <si>
    <t>10u</t>
  </si>
  <si>
    <t>KGM03DR50G106MH</t>
  </si>
  <si>
    <t>6</t>
  </si>
  <si>
    <t>C511</t>
  </si>
  <si>
    <t>22u</t>
  </si>
  <si>
    <t>C_0402_1005Metric</t>
  </si>
  <si>
    <t>04026D226MAT2A</t>
  </si>
  <si>
    <t>7</t>
  </si>
  <si>
    <t>D501 D502</t>
  </si>
  <si>
    <t>VEMD8082</t>
  </si>
  <si>
    <t>https://www.vishay.com/docs/80381/vemd8082.pdf</t>
  </si>
  <si>
    <t>VEMD808x</t>
  </si>
  <si>
    <t>Photodiode</t>
  </si>
  <si>
    <t>Vishay Semiconductors</t>
  </si>
  <si>
    <t>8</t>
  </si>
  <si>
    <t>FB601 FB602</t>
  </si>
  <si>
    <t>FerriteBead</t>
  </si>
  <si>
    <t>https://www.mouser.de/datasheet/3/76/1/ENFA0018.pdf</t>
  </si>
  <si>
    <t>L_0402_1005Metric</t>
  </si>
  <si>
    <t>Ferrite bead</t>
  </si>
  <si>
    <t>BLM15PD121SN1D</t>
  </si>
  <si>
    <t>9</t>
  </si>
  <si>
    <t>IC601</t>
  </si>
  <si>
    <t>DA7212-01UM2</t>
  </si>
  <si>
    <t>https://www.renesas.com/en/document/dst/da7212-datasheet?r=1563326</t>
  </si>
  <si>
    <t>WLCSP-34</t>
  </si>
  <si>
    <t/>
  </si>
  <si>
    <t>Renesas / Dialog</t>
  </si>
  <si>
    <t>10</t>
  </si>
  <si>
    <t>IC502</t>
  </si>
  <si>
    <t>LIS2DS12</t>
  </si>
  <si>
    <t>https://www.st.com/resource/en/datasheet/lis2ds12.pdf</t>
  </si>
  <si>
    <t>LGA-12_2x2mm_P0.5mm</t>
  </si>
  <si>
    <t>STMicroelectronics</t>
  </si>
  <si>
    <t>IC501</t>
  </si>
  <si>
    <t>MAX32664</t>
  </si>
  <si>
    <t>https://www.analog.com/media/en/technical-documentation/data-sheets/MAX32664.pdf</t>
  </si>
  <si>
    <t>MAX32664GTG</t>
  </si>
  <si>
    <t>Analog Devices / Maxim Integrated</t>
  </si>
  <si>
    <t>MAX32664GTGC+</t>
  </si>
  <si>
    <t>12</t>
  </si>
  <si>
    <t>IC503</t>
  </si>
  <si>
    <t>MAX86141</t>
  </si>
  <si>
    <t>https://www.analog.com/media/en/technical-documentation/data-sheets/max86140-max86141.pdf</t>
  </si>
  <si>
    <t>THIN-WLP-20_2.228x1.967mm_P0.4mm</t>
  </si>
  <si>
    <t>MAX86141ENP+T</t>
  </si>
  <si>
    <t>13</t>
  </si>
  <si>
    <t>LED501</t>
  </si>
  <si>
    <t>SFH7016</t>
  </si>
  <si>
    <t>https://look.ams-osram.com/m/1a73f8d425cfcc40/original/SFH-7016.pdf</t>
  </si>
  <si>
    <t>ams OSRAM</t>
  </si>
  <si>
    <t>SFH 7016</t>
  </si>
  <si>
    <t>14</t>
  </si>
  <si>
    <t>R601</t>
  </si>
  <si>
    <t>0R</t>
  </si>
  <si>
    <t>https://www.mouser.de/datasheet/3/508/1/PYu-RC_Group_51_RoHS_L_12.pdf</t>
  </si>
  <si>
    <t>R_0201_0603Metric</t>
  </si>
  <si>
    <t>Resistor, small symbol</t>
  </si>
  <si>
    <t>YAGEO</t>
  </si>
  <si>
    <t>603-RC0201FR-SNE96L</t>
  </si>
  <si>
    <t>15</t>
  </si>
  <si>
    <t>R502</t>
  </si>
  <si>
    <t>4k7</t>
  </si>
  <si>
    <t>https://www.vishay.com/doc?20052</t>
  </si>
  <si>
    <t>L_0201_0603Metric</t>
  </si>
  <si>
    <t>Vishay</t>
  </si>
  <si>
    <t>CRCW020147K5FNED</t>
  </si>
  <si>
    <t>16</t>
  </si>
  <si>
    <t>X701 X702</t>
  </si>
  <si>
    <t>MB2</t>
  </si>
  <si>
    <t>https://cdn.amphenol-cs.com/media/wysiwyg/files/drawing/101p014fb110.pdf</t>
  </si>
  <si>
    <t>101P014FB110</t>
  </si>
  <si>
    <t>Generic connector, double row, 02x07, top/bottom pin numbering scheme (row 1: 1...pins_per_row, row2: pins_per_row+1 ... num_pins), script generated (kicad-library-utils/schlib/autogen/connector/)</t>
  </si>
  <si>
    <t>Amphenol Aorora</t>
  </si>
  <si>
    <t>17</t>
  </si>
  <si>
    <t>Y501</t>
  </si>
  <si>
    <t>32kHz</t>
  </si>
  <si>
    <t>https://www.mouser.de/datasheet/3/294/1/ECX-1210.pdf</t>
  </si>
  <si>
    <t>ECS_ECX-1210</t>
  </si>
  <si>
    <t>Two pin crystal</t>
  </si>
  <si>
    <t>ECS</t>
  </si>
  <si>
    <t>ECS-.327-6-1210-TR</t>
  </si>
  <si>
    <t>Bill of Materials</t>
  </si>
  <si>
    <t>Schematic:</t>
  </si>
  <si>
    <t>ZSWatch-Extension</t>
  </si>
  <si>
    <t>Variant:</t>
  </si>
  <si>
    <t>CHECKED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</si>
  <si>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</si>
  <si>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</si>
  <si>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</si>
  <si>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</si>
  <si>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</si>
  <si>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</si>
  <si>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</si>
  <si>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35 (35 SMD/ 0 THT)</t>
  </si>
  <si>
    <t>Fitted Components:</t>
  </si>
  <si>
    <t>Number of PCBs:</t>
  </si>
  <si>
    <t>Total Components:</t>
  </si>
  <si>
    <t>Global Part Info</t>
  </si>
  <si>
    <t>Manf</t>
  </si>
  <si>
    <t>Manf#</t>
  </si>
  <si>
    <t>Build Quantity</t>
  </si>
  <si>
    <t>Unit$</t>
  </si>
  <si>
    <t>Ext$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</si>
  <si>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</si>
  <si>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</si>
  <si>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</si>
  <si>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</si>
  <si>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</si>
  <si>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</si>
  <si>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</si>
  <si>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</si>
  <si>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</si>
  <si>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</si>
  <si>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</si>
  <si>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</si>
  <si>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2026-09-28 18:56:30</t>
  </si>
  <si>
    <t>KiCost® v1.1.21 + KiBot v1.9.1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</si>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</sst>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cx5r-KGM.pdf" TargetMode="External"/><Relationship Id="rId2" Type="http://schemas.openxmlformats.org/officeDocument/2006/relationships/hyperlink" Target="https://datasheets.kyocera-avx.com/x6s-dielectric.pdf" TargetMode="External"/><Relationship Id="rId3" Type="http://schemas.openxmlformats.org/officeDocument/2006/relationships/hyperlink" Target="https://datasheets.kyocera-avx.com/cx5r-KGM.pdf" TargetMode="External"/><Relationship Id="rId4" Type="http://schemas.openxmlformats.org/officeDocument/2006/relationships/hyperlink" Target="https://www.mouser.de/datasheet/3/76/2/GRM035R60J475ME15_01A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vishay.com/docs/80381/vemd8082.pdf" TargetMode="External"/><Relationship Id="rId8" Type="http://schemas.openxmlformats.org/officeDocument/2006/relationships/hyperlink" Target="https://www.mouser.de/datasheet/3/76/1/ENFA0018.pdf" TargetMode="External"/><Relationship Id="rId9" Type="http://schemas.openxmlformats.org/officeDocument/2006/relationships/hyperlink" Target="https://www.renesas.com/en/document/dst/da7212-datasheet?r=1563326" TargetMode="External"/><Relationship Id="rId10" Type="http://schemas.openxmlformats.org/officeDocument/2006/relationships/hyperlink" Target="https://www.st.com/resource/en/datasheet/lis2ds12.pdf" TargetMode="External"/><Relationship Id="rId11" Type="http://schemas.openxmlformats.org/officeDocument/2006/relationships/hyperlink" Target="https://www.analog.com/media/en/technical-documentation/data-sheets/MAX32664.pdf" TargetMode="External"/><Relationship Id="rId12" Type="http://schemas.openxmlformats.org/officeDocument/2006/relationships/hyperlink" Target="https://www.analog.com/media/en/technical-documentation/data-sheets/max86140-max86141.pdf" TargetMode="External"/><Relationship Id="rId13" Type="http://schemas.openxmlformats.org/officeDocument/2006/relationships/hyperlink" Target="https://look.ams-osram.com/m/1a73f8d425cfcc40/original/SFH-7016.pdf" TargetMode="External"/><Relationship Id="rId14" Type="http://schemas.openxmlformats.org/officeDocument/2006/relationships/hyperlink" Target="https://www.mouser.de/datasheet/3/508/1/PYu-RC_Group_51_RoHS_L_12.pdf" TargetMode="External"/><Relationship Id="rId15" Type="http://schemas.openxmlformats.org/officeDocument/2006/relationships/hyperlink" Target="https://www.vishay.com/doc?20052" TargetMode="External"/><Relationship Id="rId16" Type="http://schemas.openxmlformats.org/officeDocument/2006/relationships/hyperlink" Target="https://cdn.amphenol-cs.com/media/wysiwyg/files/drawing/101p014fb110.pdf" TargetMode="External"/><Relationship Id="rId17" Type="http://schemas.openxmlformats.org/officeDocument/2006/relationships/hyperlink" Target="https://www.mouser.de/datasheet/3/294/1/ECX-1210.pdf" TargetMode="External"/><Relationship Id="rId18" Type="http://schemas.openxmlformats.org/officeDocument/2006/relationships/hyperlink" Target="https://mouser.com/bom/" TargetMode="External"/><Relationship Id="rId19" Type="http://schemas.openxmlformats.org/officeDocument/2006/relationships/vmlDrawing" Target="../drawings/vmlDrawing1.vml"/><Relationship Id="rId2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59.7109375" customWidth="1"/>
    <col min="4" max="4" width="18.7109375" customWidth="1"/>
    <col min="5" max="5" width="60.7109375" customWidth="1"/>
    <col min="6" max="6" width="37.7109375" customWidth="1"/>
    <col min="7" max="7" width="60.7109375" customWidth="1"/>
    <col min="8" max="8" width="38.7109375" customWidth="1"/>
    <col min="9" max="9" width="24.7109375" customWidth="1"/>
  </cols>
  <sheetData>
    <row r="1" spans="1:9" ht="32" customHeight="1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118</v>
      </c>
      <c r="B2" s="3" t="s">
        <v>119</v>
      </c>
      <c r="C2" s="2" t="s">
        <v>127</v>
      </c>
      <c r="D2" s="3">
        <v>17</v>
      </c>
    </row>
    <row r="3" spans="1:9">
      <c r="A3" s="2" t="s">
        <v>120</v>
      </c>
      <c r="B3" s="3" t="s">
        <v>121</v>
      </c>
      <c r="C3" s="2" t="s">
        <v>128</v>
      </c>
      <c r="D3" s="3" t="s">
        <v>129</v>
      </c>
    </row>
    <row r="4" spans="1:9">
      <c r="A4" s="2" t="s">
        <v>122</v>
      </c>
      <c r="B4" s="3" t="s">
        <v>61</v>
      </c>
      <c r="C4" s="2" t="s">
        <v>130</v>
      </c>
      <c r="D4" s="3" t="s">
        <v>129</v>
      </c>
    </row>
    <row r="5" spans="1:9">
      <c r="A5" s="2" t="s">
        <v>123</v>
      </c>
      <c r="B5" s="3" t="s">
        <v>124</v>
      </c>
      <c r="C5" s="2" t="s">
        <v>131</v>
      </c>
      <c r="D5" s="3">
        <v>1</v>
      </c>
    </row>
    <row r="6" spans="1:9">
      <c r="A6" s="2" t="s">
        <v>125</v>
      </c>
      <c r="B6" s="3" t="s">
        <v>126</v>
      </c>
      <c r="C6" s="2" t="s">
        <v>132</v>
      </c>
      <c r="D6" s="3">
        <v>35</v>
      </c>
    </row>
    <row r="8" spans="1:9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</row>
    <row r="9" spans="1:9">
      <c r="A9" s="5" t="s">
        <v>9</v>
      </c>
      <c r="B9" s="5" t="s">
        <v>10</v>
      </c>
      <c r="C9" s="6" t="s">
        <v>11</v>
      </c>
      <c r="D9" s="6" t="s">
        <v>12</v>
      </c>
      <c r="E9" s="6" t="s">
        <v>13</v>
      </c>
      <c r="F9" s="6" t="s">
        <v>14</v>
      </c>
      <c r="G9" s="7" t="s">
        <v>15</v>
      </c>
      <c r="H9" s="7" t="s">
        <v>16</v>
      </c>
      <c r="I9" s="7" t="s">
        <v>17</v>
      </c>
    </row>
    <row r="10" spans="1:9">
      <c r="A10" s="8" t="s">
        <v>18</v>
      </c>
      <c r="B10" s="8" t="s">
        <v>19</v>
      </c>
      <c r="C10" s="9" t="s">
        <v>20</v>
      </c>
      <c r="D10" s="9" t="s">
        <v>21</v>
      </c>
      <c r="E10" s="9" t="s">
        <v>22</v>
      </c>
      <c r="F10" s="9" t="s">
        <v>14</v>
      </c>
      <c r="G10" s="10" t="s">
        <v>15</v>
      </c>
      <c r="H10" s="10" t="s">
        <v>16</v>
      </c>
      <c r="I10" s="10" t="s">
        <v>23</v>
      </c>
    </row>
    <row r="11" spans="1:9">
      <c r="A11" s="5" t="s">
        <v>24</v>
      </c>
      <c r="B11" s="5" t="s">
        <v>9</v>
      </c>
      <c r="C11" s="6" t="s">
        <v>25</v>
      </c>
      <c r="D11" s="6" t="s">
        <v>26</v>
      </c>
      <c r="E11" s="6" t="s">
        <v>13</v>
      </c>
      <c r="F11" s="6" t="s">
        <v>14</v>
      </c>
      <c r="G11" s="7" t="s">
        <v>15</v>
      </c>
      <c r="H11" s="7" t="s">
        <v>16</v>
      </c>
      <c r="I11" s="7" t="s">
        <v>27</v>
      </c>
    </row>
    <row r="12" spans="1:9" ht="30" customHeight="1">
      <c r="A12" s="8" t="s">
        <v>10</v>
      </c>
      <c r="B12" s="8" t="s">
        <v>18</v>
      </c>
      <c r="C12" s="9" t="s">
        <v>28</v>
      </c>
      <c r="D12" s="9" t="s">
        <v>29</v>
      </c>
      <c r="E12" s="9" t="s">
        <v>30</v>
      </c>
      <c r="F12" s="9" t="s">
        <v>14</v>
      </c>
      <c r="G12" s="10" t="s">
        <v>15</v>
      </c>
      <c r="H12" s="10" t="s">
        <v>31</v>
      </c>
      <c r="I12" s="10" t="s">
        <v>32</v>
      </c>
    </row>
    <row r="13" spans="1:9">
      <c r="A13" s="5" t="s">
        <v>33</v>
      </c>
      <c r="B13" s="5" t="s">
        <v>18</v>
      </c>
      <c r="C13" s="6" t="s">
        <v>34</v>
      </c>
      <c r="D13" s="6" t="s">
        <v>35</v>
      </c>
      <c r="E13" s="6" t="s">
        <v>13</v>
      </c>
      <c r="F13" s="6" t="s">
        <v>14</v>
      </c>
      <c r="G13" s="7" t="s">
        <v>15</v>
      </c>
      <c r="H13" s="7" t="s">
        <v>16</v>
      </c>
      <c r="I13" s="7" t="s">
        <v>36</v>
      </c>
    </row>
    <row r="14" spans="1:9">
      <c r="A14" s="8" t="s">
        <v>37</v>
      </c>
      <c r="B14" s="8" t="s">
        <v>9</v>
      </c>
      <c r="C14" s="9" t="s">
        <v>38</v>
      </c>
      <c r="D14" s="9" t="s">
        <v>39</v>
      </c>
      <c r="E14" s="9" t="s">
        <v>13</v>
      </c>
      <c r="F14" s="9" t="s">
        <v>40</v>
      </c>
      <c r="G14" s="10" t="s">
        <v>15</v>
      </c>
      <c r="H14" s="10" t="s">
        <v>16</v>
      </c>
      <c r="I14" s="10" t="s">
        <v>41</v>
      </c>
    </row>
    <row r="15" spans="1:9">
      <c r="A15" s="5" t="s">
        <v>42</v>
      </c>
      <c r="B15" s="5" t="s">
        <v>18</v>
      </c>
      <c r="C15" s="6" t="s">
        <v>43</v>
      </c>
      <c r="D15" s="6" t="s">
        <v>44</v>
      </c>
      <c r="E15" s="6" t="s">
        <v>45</v>
      </c>
      <c r="F15" s="6" t="s">
        <v>46</v>
      </c>
      <c r="G15" s="7" t="s">
        <v>47</v>
      </c>
      <c r="H15" s="7" t="s">
        <v>48</v>
      </c>
      <c r="I15" s="7" t="s">
        <v>44</v>
      </c>
    </row>
    <row r="16" spans="1:9">
      <c r="A16" s="8" t="s">
        <v>49</v>
      </c>
      <c r="B16" s="8" t="s">
        <v>18</v>
      </c>
      <c r="C16" s="9" t="s">
        <v>50</v>
      </c>
      <c r="D16" s="9" t="s">
        <v>51</v>
      </c>
      <c r="E16" s="9" t="s">
        <v>52</v>
      </c>
      <c r="F16" s="9" t="s">
        <v>53</v>
      </c>
      <c r="G16" s="10" t="s">
        <v>54</v>
      </c>
      <c r="H16" s="10" t="s">
        <v>31</v>
      </c>
      <c r="I16" s="10" t="s">
        <v>55</v>
      </c>
    </row>
    <row r="17" spans="1:9" ht="30" customHeight="1">
      <c r="A17" s="5" t="s">
        <v>56</v>
      </c>
      <c r="B17" s="5" t="s">
        <v>9</v>
      </c>
      <c r="C17" s="6" t="s">
        <v>57</v>
      </c>
      <c r="D17" s="6" t="s">
        <v>58</v>
      </c>
      <c r="E17" s="6" t="s">
        <v>59</v>
      </c>
      <c r="F17" s="6" t="s">
        <v>60</v>
      </c>
      <c r="G17" s="11" t="s">
        <v>61</v>
      </c>
      <c r="H17" s="7" t="s">
        <v>62</v>
      </c>
      <c r="I17" s="7" t="s">
        <v>58</v>
      </c>
    </row>
    <row r="18" spans="1:9">
      <c r="A18" s="8" t="s">
        <v>63</v>
      </c>
      <c r="B18" s="8" t="s">
        <v>9</v>
      </c>
      <c r="C18" s="9" t="s">
        <v>64</v>
      </c>
      <c r="D18" s="9" t="s">
        <v>65</v>
      </c>
      <c r="E18" s="9" t="s">
        <v>66</v>
      </c>
      <c r="F18" s="9" t="s">
        <v>67</v>
      </c>
      <c r="G18" s="12" t="s">
        <v>61</v>
      </c>
      <c r="H18" s="10" t="s">
        <v>68</v>
      </c>
      <c r="I18" s="10" t="s">
        <v>65</v>
      </c>
    </row>
    <row r="19" spans="1:9" ht="30" customHeight="1">
      <c r="A19" s="5" t="s">
        <v>19</v>
      </c>
      <c r="B19" s="5" t="s">
        <v>9</v>
      </c>
      <c r="C19" s="6" t="s">
        <v>69</v>
      </c>
      <c r="D19" s="6" t="s">
        <v>70</v>
      </c>
      <c r="E19" s="6" t="s">
        <v>71</v>
      </c>
      <c r="F19" s="6" t="s">
        <v>72</v>
      </c>
      <c r="G19" s="11" t="s">
        <v>61</v>
      </c>
      <c r="H19" s="7" t="s">
        <v>73</v>
      </c>
      <c r="I19" s="7" t="s">
        <v>74</v>
      </c>
    </row>
    <row r="20" spans="1:9" ht="30" customHeight="1">
      <c r="A20" s="8" t="s">
        <v>75</v>
      </c>
      <c r="B20" s="8" t="s">
        <v>9</v>
      </c>
      <c r="C20" s="9" t="s">
        <v>76</v>
      </c>
      <c r="D20" s="9" t="s">
        <v>77</v>
      </c>
      <c r="E20" s="9" t="s">
        <v>78</v>
      </c>
      <c r="F20" s="9" t="s">
        <v>79</v>
      </c>
      <c r="G20" s="12" t="s">
        <v>61</v>
      </c>
      <c r="H20" s="10" t="s">
        <v>73</v>
      </c>
      <c r="I20" s="10" t="s">
        <v>80</v>
      </c>
    </row>
    <row r="21" spans="1:9" ht="30" customHeight="1">
      <c r="A21" s="5" t="s">
        <v>81</v>
      </c>
      <c r="B21" s="5" t="s">
        <v>9</v>
      </c>
      <c r="C21" s="6" t="s">
        <v>82</v>
      </c>
      <c r="D21" s="6" t="s">
        <v>83</v>
      </c>
      <c r="E21" s="6" t="s">
        <v>84</v>
      </c>
      <c r="F21" s="6" t="s">
        <v>83</v>
      </c>
      <c r="G21" s="11" t="s">
        <v>61</v>
      </c>
      <c r="H21" s="7" t="s">
        <v>85</v>
      </c>
      <c r="I21" s="7" t="s">
        <v>86</v>
      </c>
    </row>
    <row r="22" spans="1:9" ht="30" customHeight="1">
      <c r="A22" s="8" t="s">
        <v>87</v>
      </c>
      <c r="B22" s="8" t="s">
        <v>9</v>
      </c>
      <c r="C22" s="9" t="s">
        <v>88</v>
      </c>
      <c r="D22" s="9" t="s">
        <v>89</v>
      </c>
      <c r="E22" s="9" t="s">
        <v>90</v>
      </c>
      <c r="F22" s="9" t="s">
        <v>91</v>
      </c>
      <c r="G22" s="10" t="s">
        <v>92</v>
      </c>
      <c r="H22" s="10" t="s">
        <v>93</v>
      </c>
      <c r="I22" s="10" t="s">
        <v>94</v>
      </c>
    </row>
    <row r="23" spans="1:9">
      <c r="A23" s="5" t="s">
        <v>95</v>
      </c>
      <c r="B23" s="5" t="s">
        <v>9</v>
      </c>
      <c r="C23" s="6" t="s">
        <v>96</v>
      </c>
      <c r="D23" s="6" t="s">
        <v>97</v>
      </c>
      <c r="E23" s="6" t="s">
        <v>98</v>
      </c>
      <c r="F23" s="6" t="s">
        <v>99</v>
      </c>
      <c r="G23" s="7" t="s">
        <v>92</v>
      </c>
      <c r="H23" s="7" t="s">
        <v>100</v>
      </c>
      <c r="I23" s="7" t="s">
        <v>101</v>
      </c>
    </row>
    <row r="24" spans="1:9" ht="60" customHeight="1">
      <c r="A24" s="8" t="s">
        <v>102</v>
      </c>
      <c r="B24" s="8" t="s">
        <v>18</v>
      </c>
      <c r="C24" s="9" t="s">
        <v>103</v>
      </c>
      <c r="D24" s="9" t="s">
        <v>104</v>
      </c>
      <c r="E24" s="9" t="s">
        <v>105</v>
      </c>
      <c r="F24" s="9" t="s">
        <v>106</v>
      </c>
      <c r="G24" s="10" t="s">
        <v>107</v>
      </c>
      <c r="H24" s="10" t="s">
        <v>108</v>
      </c>
      <c r="I24" s="10" t="s">
        <v>106</v>
      </c>
    </row>
    <row r="25" spans="1:9">
      <c r="A25" s="5" t="s">
        <v>109</v>
      </c>
      <c r="B25" s="5" t="s">
        <v>9</v>
      </c>
      <c r="C25" s="6" t="s">
        <v>110</v>
      </c>
      <c r="D25" s="6" t="s">
        <v>111</v>
      </c>
      <c r="E25" s="6" t="s">
        <v>112</v>
      </c>
      <c r="F25" s="6" t="s">
        <v>113</v>
      </c>
      <c r="G25" s="7" t="s">
        <v>114</v>
      </c>
      <c r="H25" s="7" t="s">
        <v>115</v>
      </c>
      <c r="I25" s="7" t="s">
        <v>116</v>
      </c>
    </row>
  </sheetData>
  <mergeCells count="1">
    <mergeCell ref="A1:I1"/>
  </mergeCells>
  <hyperlinks>
    <hyperlink ref="E9" r:id="rId1"/>
    <hyperlink ref="E10" r:id="rId2"/>
    <hyperlink ref="E11" r:id="rId3"/>
    <hyperlink ref="E12" r:id="rId4"/>
    <hyperlink ref="E13" r:id="rId5"/>
    <hyperlink ref="E14" r:id="rId6"/>
    <hyperlink ref="E15" r:id="rId7"/>
    <hyperlink ref="E16" r:id="rId8"/>
    <hyperlink ref="E17" r:id="rId9"/>
    <hyperlink ref="E18" r:id="rId10"/>
    <hyperlink ref="E19" r:id="rId11"/>
    <hyperlink ref="E20" r:id="rId12"/>
    <hyperlink ref="E21" r:id="rId13"/>
    <hyperlink ref="E22" r:id="rId14"/>
    <hyperlink ref="E23" r:id="rId15"/>
    <hyperlink ref="E24" r:id="rId16"/>
    <hyperlink ref="E25" r:id="rId1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55.7109375" customWidth="1"/>
    <col min="2" max="2" width="18.7109375" customWidth="1"/>
    <col min="3" max="3" width="33.7109375" customWidth="1" outlineLevel="2"/>
    <col min="4" max="4" width="34.7109375" customWidth="1" outlineLevel="1"/>
    <col min="5" max="5" width="20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117</v>
      </c>
      <c r="B1" s="1"/>
      <c r="C1" s="1"/>
      <c r="D1" s="1"/>
      <c r="E1" s="1"/>
      <c r="F1" s="1"/>
      <c r="G1" s="1"/>
      <c r="H1" s="1"/>
    </row>
    <row r="2" spans="1:14">
      <c r="A2" s="2" t="s">
        <v>118</v>
      </c>
      <c r="B2" s="3" t="s">
        <v>119</v>
      </c>
      <c r="G2" s="13" t="s">
        <v>147</v>
      </c>
      <c r="H2" s="13">
        <v>1</v>
      </c>
    </row>
    <row r="3" spans="1:14">
      <c r="A3" s="2" t="s">
        <v>120</v>
      </c>
      <c r="B3" s="3" t="s">
        <v>121</v>
      </c>
      <c r="G3" s="14" t="s">
        <v>149</v>
      </c>
      <c r="H3" s="15">
        <f>TotalCost/BoardQty</f>
        <v>0.0</v>
      </c>
    </row>
    <row r="4" spans="1:14">
      <c r="A4" s="2" t="s">
        <v>122</v>
      </c>
      <c r="B4" s="3" t="s">
        <v>61</v>
      </c>
      <c r="G4" s="14" t="s">
        <v>148</v>
      </c>
      <c r="H4" s="16">
        <f>SUM(H10:H26)</f>
        <v>0</v>
      </c>
      <c r="M4" s="16">
        <f>SUM(M10:M26)</f>
        <v>0</v>
      </c>
      <c r="N4" s="17" t="str">
        <f>(COUNTA(M10:M26)&amp;" of "&amp;ROWS(M10:M26)&amp;" parts found")</f>
        <v>0 of 17 parts found</v>
      </c>
    </row>
    <row r="5" spans="1:14">
      <c r="A5" s="2" t="s">
        <v>123</v>
      </c>
      <c r="B5" s="3" t="s">
        <v>124</v>
      </c>
    </row>
    <row r="6" spans="1:14">
      <c r="A6" s="2" t="s">
        <v>125</v>
      </c>
      <c r="B6" s="3" t="s">
        <v>126</v>
      </c>
    </row>
    <row r="8" spans="1:14">
      <c r="A8" s="18" t="s">
        <v>133</v>
      </c>
      <c r="B8" s="18"/>
      <c r="C8" s="18"/>
      <c r="D8" s="18"/>
      <c r="E8" s="18"/>
      <c r="F8" s="18"/>
      <c r="G8" s="18"/>
      <c r="H8" s="18"/>
      <c r="I8" s="19" t="s">
        <v>139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3</v>
      </c>
      <c r="C9" s="20" t="s">
        <v>5</v>
      </c>
      <c r="D9" s="20" t="s">
        <v>134</v>
      </c>
      <c r="E9" s="20" t="s">
        <v>135</v>
      </c>
      <c r="F9" s="20" t="s">
        <v>136</v>
      </c>
      <c r="G9" s="20" t="s">
        <v>137</v>
      </c>
      <c r="H9" s="20" t="s">
        <v>138</v>
      </c>
      <c r="I9" s="20" t="s">
        <v>140</v>
      </c>
      <c r="J9" s="20" t="s">
        <v>141</v>
      </c>
      <c r="K9" s="20" t="s">
        <v>137</v>
      </c>
      <c r="L9" s="20" t="s">
        <v>142</v>
      </c>
      <c r="M9" s="20" t="s">
        <v>138</v>
      </c>
      <c r="N9" s="20" t="s">
        <v>143</v>
      </c>
    </row>
    <row r="10" spans="1:14">
      <c r="A10" s="21" t="s">
        <v>11</v>
      </c>
      <c r="B10" s="21" t="s">
        <v>12</v>
      </c>
      <c r="C10" s="21" t="s">
        <v>14</v>
      </c>
      <c r="D10" s="21" t="s">
        <v>16</v>
      </c>
      <c r="E10" s="21" t="s">
        <v>17</v>
      </c>
      <c r="F10" s="21">
        <f>CEILING(BoardQty*4,1)</f>
        <v>4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20</v>
      </c>
      <c r="B11" s="21" t="s">
        <v>21</v>
      </c>
      <c r="C11" s="21" t="s">
        <v>14</v>
      </c>
      <c r="D11" s="21" t="s">
        <v>16</v>
      </c>
      <c r="E11" s="21" t="s">
        <v>23</v>
      </c>
      <c r="F11" s="21">
        <f>CEILING(BoardQty*11,1)</f>
        <v>11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25</v>
      </c>
      <c r="B12" s="21" t="s">
        <v>26</v>
      </c>
      <c r="C12" s="21" t="s">
        <v>14</v>
      </c>
      <c r="D12" s="21" t="s">
        <v>16</v>
      </c>
      <c r="E12" s="21" t="s">
        <v>27</v>
      </c>
      <c r="F12" s="21">
        <f>BoardQty*1</f>
        <v>1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28</v>
      </c>
      <c r="B13" s="21" t="s">
        <v>29</v>
      </c>
      <c r="C13" s="21" t="s">
        <v>14</v>
      </c>
      <c r="D13" s="21" t="s">
        <v>31</v>
      </c>
      <c r="E13" s="21" t="s">
        <v>32</v>
      </c>
      <c r="F13" s="21">
        <f>CEILING(BoardQty*2,1)</f>
        <v>2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34</v>
      </c>
      <c r="B14" s="21" t="s">
        <v>35</v>
      </c>
      <c r="C14" s="21" t="s">
        <v>14</v>
      </c>
      <c r="D14" s="21" t="s">
        <v>16</v>
      </c>
      <c r="E14" s="21" t="s">
        <v>36</v>
      </c>
      <c r="F14" s="21">
        <f>CEILING(BoardQty*2,1)</f>
        <v>2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38</v>
      </c>
      <c r="B15" s="21" t="s">
        <v>39</v>
      </c>
      <c r="C15" s="21" t="s">
        <v>40</v>
      </c>
      <c r="D15" s="21" t="s">
        <v>16</v>
      </c>
      <c r="E15" s="21" t="s">
        <v>41</v>
      </c>
      <c r="F15" s="21">
        <f>BoardQty*1</f>
        <v>1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43</v>
      </c>
      <c r="B16" s="21" t="s">
        <v>44</v>
      </c>
      <c r="C16" s="21" t="s">
        <v>46</v>
      </c>
      <c r="D16" s="21" t="s">
        <v>48</v>
      </c>
      <c r="E16" s="21" t="s">
        <v>44</v>
      </c>
      <c r="F16" s="21">
        <f>CEILING(BoardQty*2,1)</f>
        <v>2</v>
      </c>
      <c r="G16" s="22">
        <f>IF(MIN(K16)&lt;&gt;0,MIN(K16),"")</f>
        <v/>
      </c>
      <c r="H16" s="23">
        <f>IF(AND(ISNUMBER(F16),ISNUMBER(G16)),F16*G16,"")</f>
        <v/>
      </c>
    </row>
    <row r="17" spans="1:13">
      <c r="A17" s="21" t="s">
        <v>50</v>
      </c>
      <c r="B17" s="21" t="s">
        <v>51</v>
      </c>
      <c r="C17" s="21" t="s">
        <v>53</v>
      </c>
      <c r="D17" s="21" t="s">
        <v>31</v>
      </c>
      <c r="E17" s="21" t="s">
        <v>55</v>
      </c>
      <c r="F17" s="21">
        <f>CEILING(BoardQty*2,1)</f>
        <v>2</v>
      </c>
      <c r="G17" s="22">
        <f>IF(MIN(K17)&lt;&gt;0,MIN(K17),"")</f>
        <v/>
      </c>
      <c r="H17" s="23">
        <f>IF(AND(ISNUMBER(F17),ISNUMBER(G17)),F17*G17,"")</f>
        <v/>
      </c>
    </row>
    <row r="18" spans="1:13">
      <c r="A18" s="21" t="s">
        <v>57</v>
      </c>
      <c r="B18" s="21" t="s">
        <v>58</v>
      </c>
      <c r="C18" s="21" t="s">
        <v>60</v>
      </c>
      <c r="D18" s="21" t="s">
        <v>62</v>
      </c>
      <c r="E18" s="21" t="s">
        <v>58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13">
      <c r="A19" s="21" t="s">
        <v>64</v>
      </c>
      <c r="B19" s="21" t="s">
        <v>65</v>
      </c>
      <c r="C19" s="21" t="s">
        <v>67</v>
      </c>
      <c r="D19" s="21" t="s">
        <v>68</v>
      </c>
      <c r="E19" s="21" t="s">
        <v>65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13">
      <c r="A20" s="21" t="s">
        <v>69</v>
      </c>
      <c r="B20" s="21" t="s">
        <v>70</v>
      </c>
      <c r="C20" s="21" t="s">
        <v>72</v>
      </c>
      <c r="D20" s="21" t="s">
        <v>73</v>
      </c>
      <c r="E20" s="21" t="s">
        <v>74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13">
      <c r="A21" s="21" t="s">
        <v>76</v>
      </c>
      <c r="B21" s="21" t="s">
        <v>77</v>
      </c>
      <c r="C21" s="21" t="s">
        <v>79</v>
      </c>
      <c r="D21" s="21" t="s">
        <v>73</v>
      </c>
      <c r="E21" s="21" t="s">
        <v>80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13">
      <c r="A22" s="21" t="s">
        <v>82</v>
      </c>
      <c r="B22" s="21" t="s">
        <v>83</v>
      </c>
      <c r="C22" s="21" t="s">
        <v>83</v>
      </c>
      <c r="D22" s="21" t="s">
        <v>85</v>
      </c>
      <c r="E22" s="21" t="s">
        <v>86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13">
      <c r="A23" s="21" t="s">
        <v>88</v>
      </c>
      <c r="B23" s="21" t="s">
        <v>89</v>
      </c>
      <c r="C23" s="21" t="s">
        <v>91</v>
      </c>
      <c r="D23" s="21" t="s">
        <v>93</v>
      </c>
      <c r="E23" s="21" t="s">
        <v>94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13">
      <c r="A24" s="21" t="s">
        <v>96</v>
      </c>
      <c r="B24" s="21" t="s">
        <v>97</v>
      </c>
      <c r="C24" s="21" t="s">
        <v>99</v>
      </c>
      <c r="D24" s="21" t="s">
        <v>100</v>
      </c>
      <c r="E24" s="21" t="s">
        <v>101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13">
      <c r="A25" s="21" t="s">
        <v>103</v>
      </c>
      <c r="B25" s="21" t="s">
        <v>104</v>
      </c>
      <c r="C25" s="21" t="s">
        <v>106</v>
      </c>
      <c r="D25" s="21" t="s">
        <v>108</v>
      </c>
      <c r="E25" s="21" t="s">
        <v>106</v>
      </c>
      <c r="F25" s="21">
        <f>CEILING(BoardQty*2,1)</f>
        <v>2</v>
      </c>
      <c r="G25" s="22">
        <f>IF(MIN(K25)&lt;&gt;0,MIN(K25),"")</f>
        <v/>
      </c>
      <c r="H25" s="23">
        <f>IF(AND(ISNUMBER(F25),ISNUMBER(G25)),F25*G25,"")</f>
        <v/>
      </c>
    </row>
    <row r="26" spans="1:13">
      <c r="A26" s="21" t="s">
        <v>110</v>
      </c>
      <c r="B26" s="21" t="s">
        <v>111</v>
      </c>
      <c r="C26" s="21" t="s">
        <v>113</v>
      </c>
      <c r="D26" s="21" t="s">
        <v>115</v>
      </c>
      <c r="E26" s="21" t="s">
        <v>116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8" spans="1:13">
      <c r="G28" s="14" t="s">
        <v>145</v>
      </c>
      <c r="H28" s="16">
        <f>SUM(M28)</f>
        <v>0</v>
      </c>
      <c r="I28" s="24" t="s">
        <v>144</v>
      </c>
      <c r="J28" s="17">
        <f>IFERROR(IF(COUNTIF(J10:J26,"&gt;0")&gt;0,COUNTIF(J10:J26,"&gt;0")&amp;" of "&amp;(ROWS(L10:L26)-COUNTBLANK(L10:L26))&amp;" parts purchased",""),"")</f>
        <v/>
      </c>
      <c r="M28" s="16">
        <f>SUMIF(J10:J26,"&gt;0",M10:M26)</f>
        <v>0</v>
      </c>
    </row>
    <row r="29" spans="1:13">
      <c r="A29" s="25" t="s">
        <v>150</v>
      </c>
      <c r="B29" s="26" t="s">
        <v>151</v>
      </c>
      <c r="G29" s="27" t="s">
        <v>146</v>
      </c>
      <c r="J29" s="28">
        <f>CONCATENATE(J47,J48,J49,J50,J51,J52,J53,J54,J55,J56,J57,J58,J59,J60,J61,J62,J63)</f>
        <v/>
      </c>
    </row>
    <row r="30" spans="1:13">
      <c r="A30" s="29" t="s">
        <v>152</v>
      </c>
    </row>
    <row r="47" spans="10:10" ht="30" hidden="1" customHeight="1">
      <c r="J47" t="str">
        <f t="array" ref="J47:J63">IF(ISNUMBER(J10:J26)*(J10:J26&gt;=L10:L26)*(N10:N26&lt;&gt;""),N10:N26&amp;"|"&amp;TEXT(ROUNDUP(J10:J26/IF(ISNUMBER(L10:L26),L10:L26,1),0)*L10:L26,"##0")&amp;"|"&amp;SUBSTITUTE(SUBSTITUTE(SUBSTITUTE(IF(PURCHASE_DESCRIPTION&lt;&gt;"",PURCHASE_DESCRIPTION&amp;":","")&amp;A10:A26,"|",";")," ","_"),"
","_")&amp;CHAR(13),"")</f>
        <v/>
      </c>
    </row>
    <row r="48" spans="10:10" ht="30" hidden="1" customHeight="1">
      <c r="J48">
        <v>0</v>
      </c>
    </row>
    <row r="49" spans="10:10" ht="30" hidden="1" customHeight="1">
      <c r="J49">
        <v>0</v>
      </c>
    </row>
    <row r="50" spans="10:10" ht="30" hidden="1" customHeight="1">
      <c r="J50">
        <v>0</v>
      </c>
    </row>
    <row r="51" spans="10:10" ht="30" hidden="1" customHeight="1">
      <c r="J51">
        <v>0</v>
      </c>
    </row>
    <row r="52" spans="10:10" ht="30" hidden="1" customHeight="1">
      <c r="J52">
        <v>0</v>
      </c>
    </row>
    <row r="53" spans="10:10" ht="30" hidden="1" customHeight="1">
      <c r="J53">
        <v>0</v>
      </c>
    </row>
    <row r="54" spans="10:10" ht="30" hidden="1" customHeight="1">
      <c r="J54">
        <v>0</v>
      </c>
    </row>
    <row r="55" spans="10:10" ht="30" hidden="1" customHeight="1">
      <c r="J55">
        <v>0</v>
      </c>
    </row>
    <row r="56" spans="10:10" ht="30" hidden="1" customHeight="1">
      <c r="J56">
        <v>0</v>
      </c>
    </row>
    <row r="57" spans="10:10" ht="30" hidden="1" customHeight="1">
      <c r="J57">
        <v>0</v>
      </c>
    </row>
    <row r="58" spans="10:10" ht="30" hidden="1" customHeight="1">
      <c r="J58">
        <v>0</v>
      </c>
    </row>
    <row r="59" spans="10:10" ht="30" hidden="1" customHeight="1">
      <c r="J59">
        <v>0</v>
      </c>
    </row>
    <row r="60" spans="10:10" ht="30" hidden="1" customHeight="1">
      <c r="J60">
        <v>0</v>
      </c>
    </row>
    <row r="61" spans="10:10" ht="30" hidden="1" customHeight="1">
      <c r="J61">
        <v>0</v>
      </c>
    </row>
    <row r="62" spans="10:10" ht="30" hidden="1" customHeight="1">
      <c r="J62">
        <v>0</v>
      </c>
    </row>
    <row r="63" spans="10:10" ht="30" hidden="1" customHeight="1">
      <c r="J63">
        <v>0</v>
      </c>
    </row>
  </sheetData>
  <mergeCells count="4">
    <mergeCell ref="A8:H8"/>
    <mergeCell ref="I8:N8"/>
    <mergeCell ref="J29:M4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I28" r:id="rId18"/>
  </hyperlinks>
  <pageMargins left="0.7" right="0.7" top="0.75" bottom="0.75" header="0.3" footer="0.3"/>
  <legacyDrawing r:id="rId1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153</v>
      </c>
    </row>
    <row r="2" spans="1:1">
      <c r="A2" s="6" t="s">
        <v>154</v>
      </c>
    </row>
    <row r="3" spans="1:1">
      <c r="A3" s="5" t="s">
        <v>155</v>
      </c>
    </row>
    <row r="4" spans="1:1">
      <c r="A4" s="7" t="s">
        <v>156</v>
      </c>
    </row>
    <row r="5" spans="1:1">
      <c r="A5" s="11" t="s">
        <v>157</v>
      </c>
    </row>
    <row r="7" spans="1:1">
      <c r="A7" t="s">
        <v>158</v>
      </c>
    </row>
    <row r="8" spans="1:1">
      <c r="A8" s="30" t="s">
        <v>159</v>
      </c>
    </row>
    <row r="9" spans="1:1">
      <c r="A9" s="31" t="s">
        <v>160</v>
      </c>
    </row>
    <row r="10" spans="1:1">
      <c r="A10" s="32" t="s">
        <v>161</v>
      </c>
    </row>
    <row r="11" spans="1:1">
      <c r="A11" s="33" t="s">
        <v>162</v>
      </c>
    </row>
    <row r="12" spans="1:1">
      <c r="A12" s="34" t="s">
        <v>163</v>
      </c>
    </row>
    <row r="13" spans="1:1">
      <c r="A13" s="35" t="s">
        <v>164</v>
      </c>
    </row>
    <row r="14" spans="1:1">
      <c r="A14" s="36" t="s">
        <v>165</v>
      </c>
    </row>
    <row r="15" spans="1:1">
      <c r="A15" s="37" t="s">
        <v>166</v>
      </c>
    </row>
    <row r="16" spans="1:1">
      <c r="A16" s="3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2026-09-28T18:56:30Z</dcterms:created>
  <dcterms:modified xsi:type="dcterms:W3CDTF">2026-09-28T18:56:30Z</dcterms:modified>
</cp:coreProperties>
</file>